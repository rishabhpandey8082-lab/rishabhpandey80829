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82A7F1-AED7-4923-BBE8-9DBEB9AE3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st_Analysis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E4" i="2" l="1"/>
  <c r="E3" i="2"/>
  <c r="E12" i="1"/>
  <c r="G12" i="1" s="1"/>
  <c r="C12" i="1"/>
  <c r="G11" i="1"/>
  <c r="H11" i="1" s="1"/>
  <c r="E11" i="1"/>
  <c r="C11" i="1"/>
  <c r="E10" i="1"/>
  <c r="G10" i="1" s="1"/>
  <c r="H10" i="1" s="1"/>
  <c r="C10" i="1"/>
  <c r="G9" i="1"/>
  <c r="H9" i="1" s="1"/>
  <c r="E9" i="1"/>
  <c r="C9" i="1"/>
  <c r="E8" i="1"/>
  <c r="G8" i="1" s="1"/>
  <c r="H8" i="1" s="1"/>
  <c r="C8" i="1"/>
  <c r="G7" i="1"/>
  <c r="H7" i="1" s="1"/>
  <c r="E7" i="1"/>
  <c r="C7" i="1"/>
  <c r="E6" i="1"/>
  <c r="G6" i="1" s="1"/>
  <c r="H6" i="1" s="1"/>
  <c r="C6" i="1"/>
  <c r="G5" i="1"/>
  <c r="H5" i="1" s="1"/>
  <c r="E5" i="1"/>
  <c r="C5" i="1"/>
  <c r="E4" i="1"/>
  <c r="G4" i="1" s="1"/>
  <c r="H4" i="1" s="1"/>
  <c r="C4" i="1"/>
  <c r="G3" i="1"/>
  <c r="H3" i="1" s="1"/>
  <c r="E3" i="1"/>
  <c r="C3" i="1"/>
  <c r="E2" i="1"/>
  <c r="G2" i="1" s="1"/>
  <c r="H2" i="1" s="1"/>
  <c r="C2" i="1"/>
  <c r="H12" i="1" l="1"/>
  <c r="E5" i="2" s="1"/>
</calcChain>
</file>

<file path=xl/sharedStrings.xml><?xml version="1.0" encoding="utf-8"?>
<sst xmlns="http://schemas.openxmlformats.org/spreadsheetml/2006/main" count="15" uniqueCount="12">
  <si>
    <t>Units Sold</t>
  </si>
  <si>
    <t>Selling Price per Unit (€)</t>
  </si>
  <si>
    <t>Revenue (€)</t>
  </si>
  <si>
    <t>Variable Cost per Unit (€)</t>
  </si>
  <si>
    <t>Total Variable Cost (€)</t>
  </si>
  <si>
    <t>Fixed Costs (€)</t>
  </si>
  <si>
    <t>Total Costs (€)</t>
  </si>
  <si>
    <t>Profit / Loss (€)</t>
  </si>
  <si>
    <t>BREAK-EVEN ANALYSIS – PROFESSIONAL COST &amp; PROFIT MODEL</t>
  </si>
  <si>
    <t>Break-Even Point (Units)</t>
  </si>
  <si>
    <t>Contribution Margin per Unit (€)</t>
  </si>
  <si>
    <t>Profit at 1,000 Units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</si>
</sst>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vs Total Costs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Cost_Analysis!$C$1</c:f>
              <c:strCache>
                <c:ptCount val="1"/>
                <c:pt idx="0">
                  <c:v>Revenue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Cost_Analysis!$A$2:$A$12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Cost_Analysis!$C$2:$C$12</c:f>
              <c:numCache>
                <c:formatCode>General</c:formatCode>
                <c:ptCount val="11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21-4476-8741-F3824E9ACA63}"/>
            </c:ext>
          </c:extLst>
        </c:ser>
        <c:ser>
          <c:idx val="1"/>
          <c:order val="1"/>
          <c:tx>
            <c:strRef>
              <c:f>Cost_Analysis!$G$1</c:f>
              <c:strCache>
                <c:ptCount val="1"/>
                <c:pt idx="0">
                  <c:v>Total Costs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Cost_Analysis!$A$2:$A$12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Cost_Analysis!$G$2:$G$12</c:f>
              <c:numCache>
                <c:formatCode>General</c:formatCode>
                <c:ptCount val="11"/>
                <c:pt idx="0">
                  <c:v>20000</c:v>
                </c:pt>
                <c:pt idx="1">
                  <c:v>23000</c:v>
                </c:pt>
                <c:pt idx="2">
                  <c:v>26000</c:v>
                </c:pt>
                <c:pt idx="3">
                  <c:v>29000</c:v>
                </c:pt>
                <c:pt idx="4">
                  <c:v>32000</c:v>
                </c:pt>
                <c:pt idx="5">
                  <c:v>35000</c:v>
                </c:pt>
                <c:pt idx="6">
                  <c:v>38000</c:v>
                </c:pt>
                <c:pt idx="7">
                  <c:v>41000</c:v>
                </c:pt>
                <c:pt idx="8">
                  <c:v>44000</c:v>
                </c:pt>
                <c:pt idx="9">
                  <c:v>47000</c:v>
                </c:pt>
                <c:pt idx="10">
                  <c:v>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21-4476-8741-F3824E9AC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€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4.5" x14ac:dyDescent="0.35"/>
  <cols>
    <col min="1" max="8" width="2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</v>
      </c>
      <c r="B2">
        <v>50</v>
      </c>
      <c r="C2">
        <f t="shared" ref="C2:C12" si="0">A2*B2</f>
        <v>0</v>
      </c>
      <c r="D2">
        <v>30</v>
      </c>
      <c r="E2">
        <f t="shared" ref="E2:E12" si="1">A2*D2</f>
        <v>0</v>
      </c>
      <c r="F2">
        <v>20000</v>
      </c>
      <c r="G2">
        <f t="shared" ref="G2:G12" si="2">E2+F2</f>
        <v>20000</v>
      </c>
      <c r="H2">
        <f t="shared" ref="H2:H12" si="3">C2-G2</f>
        <v>-20000</v>
      </c>
    </row>
    <row r="3" spans="1:8" x14ac:dyDescent="0.35">
      <c r="A3">
        <v>100</v>
      </c>
      <c r="B3">
        <v>50</v>
      </c>
      <c r="C3">
        <f t="shared" si="0"/>
        <v>5000</v>
      </c>
      <c r="D3">
        <v>30</v>
      </c>
      <c r="E3">
        <f t="shared" si="1"/>
        <v>3000</v>
      </c>
      <c r="F3">
        <v>20000</v>
      </c>
      <c r="G3">
        <f t="shared" si="2"/>
        <v>23000</v>
      </c>
      <c r="H3">
        <f t="shared" si="3"/>
        <v>-18000</v>
      </c>
    </row>
    <row r="4" spans="1:8" x14ac:dyDescent="0.35">
      <c r="A4">
        <v>200</v>
      </c>
      <c r="B4">
        <v>50</v>
      </c>
      <c r="C4">
        <f t="shared" si="0"/>
        <v>10000</v>
      </c>
      <c r="D4">
        <v>30</v>
      </c>
      <c r="E4">
        <f t="shared" si="1"/>
        <v>6000</v>
      </c>
      <c r="F4">
        <v>20000</v>
      </c>
      <c r="G4">
        <f t="shared" si="2"/>
        <v>26000</v>
      </c>
      <c r="H4">
        <f t="shared" si="3"/>
        <v>-16000</v>
      </c>
    </row>
    <row r="5" spans="1:8" x14ac:dyDescent="0.35">
      <c r="A5">
        <v>300</v>
      </c>
      <c r="B5">
        <v>50</v>
      </c>
      <c r="C5">
        <f t="shared" si="0"/>
        <v>15000</v>
      </c>
      <c r="D5">
        <v>30</v>
      </c>
      <c r="E5">
        <f t="shared" si="1"/>
        <v>9000</v>
      </c>
      <c r="F5">
        <v>20000</v>
      </c>
      <c r="G5">
        <f t="shared" si="2"/>
        <v>29000</v>
      </c>
      <c r="H5">
        <f t="shared" si="3"/>
        <v>-14000</v>
      </c>
    </row>
    <row r="6" spans="1:8" x14ac:dyDescent="0.35">
      <c r="A6">
        <v>400</v>
      </c>
      <c r="B6">
        <v>50</v>
      </c>
      <c r="C6">
        <f t="shared" si="0"/>
        <v>20000</v>
      </c>
      <c r="D6">
        <v>30</v>
      </c>
      <c r="E6">
        <f t="shared" si="1"/>
        <v>12000</v>
      </c>
      <c r="F6">
        <v>20000</v>
      </c>
      <c r="G6">
        <f t="shared" si="2"/>
        <v>32000</v>
      </c>
      <c r="H6">
        <f t="shared" si="3"/>
        <v>-12000</v>
      </c>
    </row>
    <row r="7" spans="1:8" x14ac:dyDescent="0.35">
      <c r="A7">
        <v>500</v>
      </c>
      <c r="B7">
        <v>50</v>
      </c>
      <c r="C7">
        <f t="shared" si="0"/>
        <v>25000</v>
      </c>
      <c r="D7">
        <v>30</v>
      </c>
      <c r="E7">
        <f t="shared" si="1"/>
        <v>15000</v>
      </c>
      <c r="F7">
        <v>20000</v>
      </c>
      <c r="G7">
        <f t="shared" si="2"/>
        <v>35000</v>
      </c>
      <c r="H7">
        <f t="shared" si="3"/>
        <v>-10000</v>
      </c>
    </row>
    <row r="8" spans="1:8" x14ac:dyDescent="0.35">
      <c r="A8">
        <v>600</v>
      </c>
      <c r="B8">
        <v>50</v>
      </c>
      <c r="C8">
        <f t="shared" si="0"/>
        <v>30000</v>
      </c>
      <c r="D8">
        <v>30</v>
      </c>
      <c r="E8">
        <f t="shared" si="1"/>
        <v>18000</v>
      </c>
      <c r="F8">
        <v>20000</v>
      </c>
      <c r="G8">
        <f t="shared" si="2"/>
        <v>38000</v>
      </c>
      <c r="H8">
        <f t="shared" si="3"/>
        <v>-8000</v>
      </c>
    </row>
    <row r="9" spans="1:8" x14ac:dyDescent="0.35">
      <c r="A9">
        <v>700</v>
      </c>
      <c r="B9">
        <v>50</v>
      </c>
      <c r="C9">
        <f t="shared" si="0"/>
        <v>35000</v>
      </c>
      <c r="D9">
        <v>30</v>
      </c>
      <c r="E9">
        <f t="shared" si="1"/>
        <v>21000</v>
      </c>
      <c r="F9">
        <v>20000</v>
      </c>
      <c r="G9">
        <f t="shared" si="2"/>
        <v>41000</v>
      </c>
      <c r="H9">
        <f t="shared" si="3"/>
        <v>-6000</v>
      </c>
    </row>
    <row r="10" spans="1:8" x14ac:dyDescent="0.35">
      <c r="A10">
        <v>800</v>
      </c>
      <c r="B10">
        <v>50</v>
      </c>
      <c r="C10">
        <f t="shared" si="0"/>
        <v>40000</v>
      </c>
      <c r="D10">
        <v>30</v>
      </c>
      <c r="E10">
        <f t="shared" si="1"/>
        <v>24000</v>
      </c>
      <c r="F10">
        <v>20000</v>
      </c>
      <c r="G10">
        <f t="shared" si="2"/>
        <v>44000</v>
      </c>
      <c r="H10">
        <f t="shared" si="3"/>
        <v>-4000</v>
      </c>
    </row>
    <row r="11" spans="1:8" x14ac:dyDescent="0.35">
      <c r="A11">
        <v>900</v>
      </c>
      <c r="B11">
        <v>50</v>
      </c>
      <c r="C11">
        <f t="shared" si="0"/>
        <v>45000</v>
      </c>
      <c r="D11">
        <v>30</v>
      </c>
      <c r="E11">
        <f t="shared" si="1"/>
        <v>27000</v>
      </c>
      <c r="F11">
        <v>20000</v>
      </c>
      <c r="G11">
        <f t="shared" si="2"/>
        <v>47000</v>
      </c>
      <c r="H11">
        <f t="shared" si="3"/>
        <v>-2000</v>
      </c>
    </row>
    <row r="12" spans="1:8" x14ac:dyDescent="0.35">
      <c r="A12">
        <v>1000</v>
      </c>
      <c r="B12">
        <v>50</v>
      </c>
      <c r="C12">
        <f t="shared" si="0"/>
        <v>50000</v>
      </c>
      <c r="D12">
        <v>30</v>
      </c>
      <c r="E12">
        <f t="shared" si="1"/>
        <v>30000</v>
      </c>
      <c r="F12">
        <v>20000</v>
      </c>
      <c r="G12">
        <f t="shared" si="2"/>
        <v>50000</v>
      </c>
      <c r="H12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="81" workbookViewId="0">
      <selection sqref="A1:H1"/>
    </sheetView>
  </sheetViews>
  <sheetFormatPr defaultRowHeight="14.5" x14ac:dyDescent="0.35"/>
  <cols>
    <col min="1" max="1" width="23.54296875" customWidth="1"/>
    <col min="2" max="2" width="11.1796875" customWidth="1"/>
    <col min="3" max="3" width="2.6328125" hidden="1" customWidth="1"/>
    <col min="4" max="4" width="33.81640625" customWidth="1"/>
  </cols>
  <sheetData>
    <row r="1" spans="1:8" ht="26" x14ac:dyDescent="0.6">
      <c r="A1" s="5" t="s">
        <v>8</v>
      </c>
      <c r="B1" s="6"/>
      <c r="C1" s="6"/>
      <c r="D1" s="6"/>
      <c r="E1" s="6"/>
      <c r="F1" s="6"/>
      <c r="G1" s="6"/>
      <c r="H1" s="6"/>
    </row>
    <row r="3" spans="1:8" x14ac:dyDescent="0.35">
      <c r="A3" s="2" t="s">
        <v>1</v>
      </c>
      <c r="B3">
        <v>50</v>
      </c>
      <c r="D3" s="3" t="s">
        <v>9</v>
      </c>
      <c r="E3" s="4">
        <f>(B5)/(B3-B4)</f>
        <v>1000</v>
      </c>
    </row>
    <row r="4" spans="1:8" x14ac:dyDescent="0.35">
      <c r="A4" s="2" t="s">
        <v>3</v>
      </c>
      <c r="B4">
        <v>30</v>
      </c>
      <c r="D4" s="3" t="s">
        <v>10</v>
      </c>
      <c r="E4" s="4">
        <f>B3-B4</f>
        <v>20</v>
      </c>
    </row>
    <row r="5" spans="1:8" x14ac:dyDescent="0.35">
      <c r="A5" s="2" t="s">
        <v>5</v>
      </c>
      <c r="B5">
        <v>20000</v>
      </c>
      <c r="D5" s="3" t="s">
        <v>11</v>
      </c>
      <c r="E5" s="4">
        <f>INDEX(Cost_Analysis!H:H,MATCH(1000,Cost_Analysis!A:A,0))</f>
        <v>0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RAJ PANDEY</cp:lastModifiedBy>
  <dcterms:created xsi:type="dcterms:W3CDTF">2026-02-08T14:48:53Z</dcterms:created>
  <dcterms:modified xsi:type="dcterms:W3CDTF">2026-02-08T14:50:19Z</dcterms:modified>
</cp:coreProperties>
</file>