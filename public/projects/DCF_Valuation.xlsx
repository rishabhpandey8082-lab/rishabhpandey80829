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4F03177-C272-4168-9698-7D6AE4381D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F_Model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D6" i="1" l="1"/>
  <c r="D5" i="1"/>
  <c r="D4" i="1"/>
  <c r="D3" i="1"/>
  <c r="D2" i="1"/>
  <c r="E2" i="1" l="1"/>
  <c r="F2" i="1" s="1"/>
  <c r="G2" i="1" s="1"/>
  <c r="E3" i="2" s="1"/>
  <c r="E5" i="2" s="1"/>
  <c r="E4" i="1"/>
  <c r="F4" i="1" s="1"/>
  <c r="G4" i="1" s="1"/>
  <c r="E6" i="1"/>
  <c r="F6" i="1" s="1"/>
  <c r="G6" i="1" s="1"/>
  <c r="E4" i="2" s="1"/>
  <c r="E3" i="1"/>
  <c r="F3" i="1" s="1"/>
  <c r="G3" i="1" s="1"/>
  <c r="E5" i="1"/>
  <c r="F5" i="1" s="1"/>
  <c r="G5" i="1" s="1"/>
</calcChain>
</file>

<file path=xl/sharedStrings.xml><?xml version="1.0" encoding="utf-8"?>
<sst xmlns="http://schemas.openxmlformats.org/spreadsheetml/2006/main" count="14" uniqueCount="14">
  <si>
    <t>Year</t>
  </si>
  <si>
    <t>Revenue (€)</t>
  </si>
  <si>
    <t>EBIT Margin (%)</t>
  </si>
  <si>
    <t>EBIT (€)</t>
  </si>
  <si>
    <t>Tax (25%) (€)</t>
  </si>
  <si>
    <t>NOPAT (€)</t>
  </si>
  <si>
    <t>Free Cash Flow (€)</t>
  </si>
  <si>
    <t>DISCOUNTED CASH FLOW (DCF) – CORPORATE VALUATION MODEL</t>
  </si>
  <si>
    <t>WACC (Discount Rate)</t>
  </si>
  <si>
    <t>Enterprise Value (€)</t>
  </si>
  <si>
    <t>Terminal Growth Rate</t>
  </si>
  <si>
    <t>Terminal Value (€)</t>
  </si>
  <si>
    <t>Tax Rate</t>
  </si>
  <si>
    <t>Total Firm Value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</si>
</sst>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Free Cash Flow Forecast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DCF_Model!$G$1</c:f>
              <c:strCache>
                <c:ptCount val="1"/>
                <c:pt idx="0">
                  <c:v>Free Cash Flow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DCF_Model!$A$2:$A$6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DCF_Model!$G$2:$G$6</c:f>
              <c:numCache>
                <c:formatCode>General</c:formatCode>
                <c:ptCount val="5"/>
                <c:pt idx="0">
                  <c:v>22500</c:v>
                </c:pt>
                <c:pt idx="1">
                  <c:v>24187.5</c:v>
                </c:pt>
                <c:pt idx="2">
                  <c:v>25875</c:v>
                </c:pt>
                <c:pt idx="3">
                  <c:v>28125</c:v>
                </c:pt>
                <c:pt idx="4">
                  <c:v>30375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A-44D5-AD47-0A29FA3E0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5" x14ac:dyDescent="0.35"/>
  <cols>
    <col min="1" max="7" width="2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200000</v>
      </c>
      <c r="C2">
        <v>0.15</v>
      </c>
      <c r="D2">
        <f>B2*C2</f>
        <v>30000</v>
      </c>
      <c r="E2">
        <f>D2*0.25</f>
        <v>7500</v>
      </c>
      <c r="F2">
        <f>D2-E2</f>
        <v>22500</v>
      </c>
      <c r="G2">
        <f>F2</f>
        <v>22500</v>
      </c>
    </row>
    <row r="3" spans="1:7" x14ac:dyDescent="0.35">
      <c r="A3">
        <v>2</v>
      </c>
      <c r="B3">
        <v>215000</v>
      </c>
      <c r="C3">
        <v>0.15</v>
      </c>
      <c r="D3">
        <f>B3*C3</f>
        <v>32250</v>
      </c>
      <c r="E3">
        <f>D3*0.25</f>
        <v>8062.5</v>
      </c>
      <c r="F3">
        <f>D3-E3</f>
        <v>24187.5</v>
      </c>
      <c r="G3">
        <f>F3</f>
        <v>24187.5</v>
      </c>
    </row>
    <row r="4" spans="1:7" x14ac:dyDescent="0.35">
      <c r="A4">
        <v>3</v>
      </c>
      <c r="B4">
        <v>230000</v>
      </c>
      <c r="C4">
        <v>0.15</v>
      </c>
      <c r="D4">
        <f>B4*C4</f>
        <v>34500</v>
      </c>
      <c r="E4">
        <f>D4*0.25</f>
        <v>8625</v>
      </c>
      <c r="F4">
        <f>D4-E4</f>
        <v>25875</v>
      </c>
      <c r="G4">
        <f>F4</f>
        <v>25875</v>
      </c>
    </row>
    <row r="5" spans="1:7" x14ac:dyDescent="0.35">
      <c r="A5">
        <v>4</v>
      </c>
      <c r="B5">
        <v>250000</v>
      </c>
      <c r="C5">
        <v>0.15</v>
      </c>
      <c r="D5">
        <f>B5*C5</f>
        <v>37500</v>
      </c>
      <c r="E5">
        <f>D5*0.25</f>
        <v>9375</v>
      </c>
      <c r="F5">
        <f>D5-E5</f>
        <v>28125</v>
      </c>
      <c r="G5">
        <f>F5</f>
        <v>28125</v>
      </c>
    </row>
    <row r="6" spans="1:7" x14ac:dyDescent="0.35">
      <c r="A6">
        <v>5</v>
      </c>
      <c r="B6">
        <v>270000</v>
      </c>
      <c r="C6">
        <v>0.15</v>
      </c>
      <c r="D6">
        <f>B6*C6</f>
        <v>40500</v>
      </c>
      <c r="E6">
        <f>D6*0.25</f>
        <v>10125</v>
      </c>
      <c r="F6">
        <f>D6-E6</f>
        <v>30375</v>
      </c>
      <c r="G6">
        <f>F6</f>
        <v>30375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opLeftCell="A3" workbookViewId="0">
      <selection activeCell="G19" sqref="G19"/>
    </sheetView>
  </sheetViews>
  <sheetFormatPr defaultRowHeight="14.5" x14ac:dyDescent="0.35"/>
  <cols>
    <col min="1" max="1" width="23.6328125" customWidth="1"/>
    <col min="2" max="2" width="8.6328125" customWidth="1"/>
    <col min="3" max="3" width="8.7265625" hidden="1" customWidth="1"/>
    <col min="4" max="4" width="35.1796875" customWidth="1"/>
  </cols>
  <sheetData>
    <row r="1" spans="1:9" ht="26" x14ac:dyDescent="0.6">
      <c r="A1" s="5" t="s">
        <v>7</v>
      </c>
      <c r="B1" s="6"/>
      <c r="C1" s="6"/>
      <c r="D1" s="6"/>
      <c r="E1" s="6"/>
      <c r="F1" s="6"/>
      <c r="G1" s="6"/>
      <c r="H1" s="6"/>
      <c r="I1" s="6"/>
    </row>
    <row r="3" spans="1:9" x14ac:dyDescent="0.35">
      <c r="A3" s="2" t="s">
        <v>8</v>
      </c>
      <c r="B3">
        <v>0.1</v>
      </c>
      <c r="D3" s="3" t="s">
        <v>9</v>
      </c>
      <c r="E3" s="4" t="e">
        <f>SUMPRODUCT(DCF_Model!G2:G6,(1/(1+$B$3)^{1,2,3,4,5}))</f>
        <v>#VALUE!</v>
      </c>
    </row>
    <row r="4" spans="1:9" x14ac:dyDescent="0.35">
      <c r="A4" s="2" t="s">
        <v>10</v>
      </c>
      <c r="B4">
        <v>0.03</v>
      </c>
      <c r="D4" s="3" t="s">
        <v>11</v>
      </c>
      <c r="E4" s="4">
        <f>(DCF_Model!G6*(1+$B$4))/($B$3-$B$4)/(1+$B$3)^5</f>
        <v>277518.56776513549</v>
      </c>
    </row>
    <row r="5" spans="1:9" x14ac:dyDescent="0.35">
      <c r="A5" s="2" t="s">
        <v>12</v>
      </c>
      <c r="B5">
        <v>0.25</v>
      </c>
      <c r="D5" s="3" t="s">
        <v>13</v>
      </c>
      <c r="E5" s="4" t="e">
        <f>E3+E4</f>
        <v>#VALUE!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DCF_Model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RAJ PANDEY</cp:lastModifiedBy>
  <dcterms:created xsi:type="dcterms:W3CDTF">2026-02-08T14:50:58Z</dcterms:created>
  <dcterms:modified xsi:type="dcterms:W3CDTF">2026-02-08T14:52:37Z</dcterms:modified>
</cp:coreProperties>
</file>