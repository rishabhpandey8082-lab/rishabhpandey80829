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49B36C-9BA1-45F9-A1DB-0E5BC44938F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nancial_Data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C5" i="2" l="1"/>
  <c r="A5" i="2"/>
  <c r="D13" i="1"/>
  <c r="E13" i="1" s="1"/>
  <c r="D12" i="1"/>
  <c r="E12" i="1" s="1"/>
  <c r="D11" i="1"/>
  <c r="E11" i="1" s="1"/>
  <c r="D10" i="1"/>
  <c r="E10" i="1" s="1"/>
  <c r="D9" i="1"/>
  <c r="E9" i="1" s="1"/>
  <c r="D8" i="1"/>
  <c r="E5" i="2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E8" i="1" l="1"/>
  <c r="G5" i="2" s="1"/>
</calcChain>
</file>

<file path=xl/sharedStrings.xml><?xml version="1.0" encoding="utf-8"?>
<sst xmlns="http://schemas.openxmlformats.org/spreadsheetml/2006/main" count="22" uniqueCount="22">
  <si>
    <t>Month</t>
  </si>
  <si>
    <t>Revenue (€)</t>
  </si>
  <si>
    <t>Costs (€)</t>
  </si>
  <si>
    <t>Profit (€)</t>
  </si>
  <si>
    <t>Profit Margin 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</si>
  <si>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</si>
  <si>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</si>
  <si>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</si>
  <si>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</si>
  <si>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</si>
  <si>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</si>
  <si>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</si>
  <si>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</si>
  <si>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</si>
  <si>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</si>
  <si>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</si>
  <si>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</si>
  <si>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DASHBOARD – SELF‑INITIATED ACADEMIC PROJECT</t>
  </si>
  <si>
    <t>Total Revenue</t>
  </si>
  <si>
    <t>Total Costs</t>
  </si>
  <si>
    <t>Total Profit</t>
  </si>
  <si>
    <t>Avg.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</si>
</sst>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vs Costs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74074074074074E-2"/>
          <c:y val="0.13170370370370371"/>
          <c:w val="0.74129629629629634"/>
          <c:h val="0.86829629629629634"/>
        </c:manualLayout>
      </c:layout>
      <c:lineChart>
        <c:grouping val="standard"/>
        <c:varyColors val="1"/>
        <c:ser>
          <c:idx val="0"/>
          <c:order val="0"/>
          <c:tx>
            <c:strRef>
              <c:f>Financial_Data!$B$1</c:f>
              <c:strCache>
                <c:ptCount val="1"/>
                <c:pt idx="0">
                  <c:v>Revenue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15000</c:v>
                </c:pt>
                <c:pt idx="3">
                  <c:v>14500</c:v>
                </c:pt>
                <c:pt idx="4">
                  <c:v>16000</c:v>
                </c:pt>
                <c:pt idx="5">
                  <c:v>17000</c:v>
                </c:pt>
                <c:pt idx="6">
                  <c:v>18000</c:v>
                </c:pt>
                <c:pt idx="7">
                  <c:v>18500</c:v>
                </c:pt>
                <c:pt idx="8">
                  <c:v>17500</c:v>
                </c:pt>
                <c:pt idx="9">
                  <c:v>19000</c:v>
                </c:pt>
                <c:pt idx="10">
                  <c:v>20000</c:v>
                </c:pt>
                <c:pt idx="11">
                  <c:v>21000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8D-414C-B6CB-331112D799B9}"/>
            </c:ext>
          </c:extLst>
        </c:ser>
        <c:ser>
          <c:idx val="1"/>
          <c:order val="1"/>
          <c:tx>
            <c:strRef>
              <c:f>Financial_Data!$C$1</c:f>
              <c:strCache>
                <c:ptCount val="1"/>
                <c:pt idx="0">
                  <c:v>Costs (€)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Financial_Data!$C$2:$C$13</c:f>
              <c:numCache>
                <c:formatCode>General</c:formatCode>
                <c:ptCount val="12"/>
                <c:pt idx="0">
                  <c:v>8000</c:v>
                </c:pt>
                <c:pt idx="1">
                  <c:v>8500</c:v>
                </c:pt>
                <c:pt idx="2">
                  <c:v>9000</c:v>
                </c:pt>
                <c:pt idx="3">
                  <c:v>8800</c:v>
                </c:pt>
                <c:pt idx="4">
                  <c:v>9200</c:v>
                </c:pt>
                <c:pt idx="5">
                  <c:v>9500</c:v>
                </c:pt>
                <c:pt idx="6">
                  <c:v>9800</c:v>
                </c:pt>
                <c:pt idx="7">
                  <c:v>10000</c:v>
                </c:pt>
                <c:pt idx="8">
                  <c:v>9700</c:v>
                </c:pt>
                <c:pt idx="9">
                  <c:v>10500</c:v>
                </c:pt>
                <c:pt idx="10">
                  <c:v>11000</c:v>
                </c:pt>
                <c:pt idx="11">
                  <c:v>11500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8D-414C-B6CB-331112D79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€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Financial_Data!$D$1</c:f>
              <c:strCache>
                <c:ptCount val="1"/>
                <c:pt idx="0">
                  <c:v>Profit (€)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Financial_Data!$A$2:$A$13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Financial_Data!$D$2:$D$13</c:f>
              <c:numCache>
                <c:formatCode>General</c:formatCode>
                <c:ptCount val="12"/>
                <c:pt idx="0">
                  <c:v>4000</c:v>
                </c:pt>
                <c:pt idx="1">
                  <c:v>5000</c:v>
                </c:pt>
                <c:pt idx="2">
                  <c:v>6000</c:v>
                </c:pt>
                <c:pt idx="3">
                  <c:v>5700</c:v>
                </c:pt>
                <c:pt idx="4">
                  <c:v>6800</c:v>
                </c:pt>
                <c:pt idx="5">
                  <c:v>7500</c:v>
                </c:pt>
                <c:pt idx="6">
                  <c:v>8200</c:v>
                </c:pt>
                <c:pt idx="7">
                  <c:v>8500</c:v>
                </c:pt>
                <c:pt idx="8">
                  <c:v>7800</c:v>
                </c:pt>
                <c:pt idx="9">
                  <c:v>8500</c:v>
                </c:pt>
                <c:pt idx="10">
                  <c:v>9000</c:v>
                </c:pt>
                <c:pt idx="11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3-4135-B080-55A04353F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€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235744</xdr:colOff>
      <xdr:row>8</xdr:row>
      <xdr:rowOff>43260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12000</v>
      </c>
      <c r="C2">
        <v>8000</v>
      </c>
      <c r="D2">
        <f t="shared" ref="D2:D13" si="0">B2-C2</f>
        <v>4000</v>
      </c>
      <c r="E2">
        <f t="shared" ref="E2:E13" si="1">D2/B2</f>
        <v>0.33333333333333331</v>
      </c>
    </row>
    <row r="3" spans="1:5" x14ac:dyDescent="0.35">
      <c r="A3" t="s">
        <v>6</v>
      </c>
      <c r="B3">
        <v>13500</v>
      </c>
      <c r="C3">
        <v>8500</v>
      </c>
      <c r="D3">
        <f t="shared" si="0"/>
        <v>5000</v>
      </c>
      <c r="E3">
        <f t="shared" si="1"/>
        <v>0.37037037037037035</v>
      </c>
    </row>
    <row r="4" spans="1:5" x14ac:dyDescent="0.35">
      <c r="A4" t="s">
        <v>7</v>
      </c>
      <c r="B4">
        <v>15000</v>
      </c>
      <c r="C4">
        <v>9000</v>
      </c>
      <c r="D4">
        <f t="shared" si="0"/>
        <v>6000</v>
      </c>
      <c r="E4">
        <f t="shared" si="1"/>
        <v>0.4</v>
      </c>
    </row>
    <row r="5" spans="1:5" x14ac:dyDescent="0.35">
      <c r="A5" t="s">
        <v>8</v>
      </c>
      <c r="B5">
        <v>14500</v>
      </c>
      <c r="C5">
        <v>8800</v>
      </c>
      <c r="D5">
        <f t="shared" si="0"/>
        <v>5700</v>
      </c>
      <c r="E5">
        <f t="shared" si="1"/>
        <v>0.39310344827586208</v>
      </c>
    </row>
    <row r="6" spans="1:5" x14ac:dyDescent="0.35">
      <c r="A6" t="s">
        <v>9</v>
      </c>
      <c r="B6">
        <v>16000</v>
      </c>
      <c r="C6">
        <v>9200</v>
      </c>
      <c r="D6">
        <f t="shared" si="0"/>
        <v>6800</v>
      </c>
      <c r="E6">
        <f t="shared" si="1"/>
        <v>0.42499999999999999</v>
      </c>
    </row>
    <row r="7" spans="1:5" x14ac:dyDescent="0.35">
      <c r="A7" t="s">
        <v>10</v>
      </c>
      <c r="B7">
        <v>17000</v>
      </c>
      <c r="C7">
        <v>9500</v>
      </c>
      <c r="D7">
        <f t="shared" si="0"/>
        <v>7500</v>
      </c>
      <c r="E7">
        <f t="shared" si="1"/>
        <v>0.44117647058823528</v>
      </c>
    </row>
    <row r="8" spans="1:5" x14ac:dyDescent="0.35">
      <c r="A8" t="s">
        <v>11</v>
      </c>
      <c r="B8">
        <v>18000</v>
      </c>
      <c r="C8">
        <v>9800</v>
      </c>
      <c r="D8">
        <f t="shared" si="0"/>
        <v>8200</v>
      </c>
      <c r="E8">
        <f t="shared" si="1"/>
        <v>0.45555555555555555</v>
      </c>
    </row>
    <row r="9" spans="1:5" x14ac:dyDescent="0.35">
      <c r="A9" t="s">
        <v>12</v>
      </c>
      <c r="B9">
        <v>18500</v>
      </c>
      <c r="C9">
        <v>10000</v>
      </c>
      <c r="D9">
        <f t="shared" si="0"/>
        <v>8500</v>
      </c>
      <c r="E9">
        <f t="shared" si="1"/>
        <v>0.45945945945945948</v>
      </c>
    </row>
    <row r="10" spans="1:5" x14ac:dyDescent="0.35">
      <c r="A10" t="s">
        <v>13</v>
      </c>
      <c r="B10">
        <v>17500</v>
      </c>
      <c r="C10">
        <v>9700</v>
      </c>
      <c r="D10">
        <f t="shared" si="0"/>
        <v>7800</v>
      </c>
      <c r="E10">
        <f t="shared" si="1"/>
        <v>0.44571428571428573</v>
      </c>
    </row>
    <row r="11" spans="1:5" x14ac:dyDescent="0.35">
      <c r="A11" t="s">
        <v>14</v>
      </c>
      <c r="B11">
        <v>19000</v>
      </c>
      <c r="C11">
        <v>10500</v>
      </c>
      <c r="D11">
        <f t="shared" si="0"/>
        <v>8500</v>
      </c>
      <c r="E11">
        <f t="shared" si="1"/>
        <v>0.44736842105263158</v>
      </c>
    </row>
    <row r="12" spans="1:5" x14ac:dyDescent="0.35">
      <c r="A12" t="s">
        <v>15</v>
      </c>
      <c r="B12">
        <v>20000</v>
      </c>
      <c r="C12">
        <v>11000</v>
      </c>
      <c r="D12">
        <f t="shared" si="0"/>
        <v>9000</v>
      </c>
      <c r="E12">
        <f t="shared" si="1"/>
        <v>0.45</v>
      </c>
    </row>
    <row r="13" spans="1:5" x14ac:dyDescent="0.35">
      <c r="A13" t="s">
        <v>16</v>
      </c>
      <c r="B13">
        <v>21000</v>
      </c>
      <c r="C13">
        <v>11500</v>
      </c>
      <c r="D13">
        <f t="shared" si="0"/>
        <v>9500</v>
      </c>
      <c r="E13">
        <f t="shared" si="1"/>
        <v>0.45238095238095238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zoomScale="64" workbookViewId="0">
      <selection sqref="A1:H1"/>
    </sheetView>
  </sheetViews>
  <sheetFormatPr defaultRowHeight="14.5" x14ac:dyDescent="0.35"/>
  <sheetData>
    <row r="1" spans="1:8" ht="26" x14ac:dyDescent="0.6">
      <c r="A1" s="5" t="s">
        <v>17</v>
      </c>
      <c r="B1" s="6"/>
      <c r="C1" s="6"/>
      <c r="D1" s="6"/>
      <c r="E1" s="6"/>
      <c r="F1" s="6"/>
      <c r="G1" s="6"/>
      <c r="H1" s="6"/>
    </row>
    <row r="3" spans="1:8" x14ac:dyDescent="0.35">
      <c r="A3" s="2" t="s">
        <v>18</v>
      </c>
      <c r="B3" s="3"/>
      <c r="C3" s="2" t="s">
        <v>19</v>
      </c>
      <c r="D3" s="3"/>
      <c r="E3" s="2" t="s">
        <v>20</v>
      </c>
      <c r="F3" s="3"/>
      <c r="G3" s="2" t="s">
        <v>21</v>
      </c>
      <c r="H3" s="3"/>
    </row>
    <row r="4" spans="1:8" x14ac:dyDescent="0.35">
      <c r="A4" s="3"/>
      <c r="B4" s="3"/>
      <c r="C4" s="3"/>
      <c r="D4" s="3"/>
      <c r="E4" s="3"/>
      <c r="F4" s="3"/>
      <c r="G4" s="3"/>
      <c r="H4" s="3"/>
    </row>
    <row r="5" spans="1:8" x14ac:dyDescent="0.35">
      <c r="A5" s="4">
        <f>SUM(Financial_Data!B2:B13)</f>
        <v>202000</v>
      </c>
      <c r="B5" s="3"/>
      <c r="C5" s="4">
        <f>SUM(Financial_Data!C2:C13)</f>
        <v>115500</v>
      </c>
      <c r="D5" s="3"/>
      <c r="E5" s="4">
        <f>SUM(Financial_Data!D2:D13)</f>
        <v>86500</v>
      </c>
      <c r="F5" s="3"/>
      <c r="G5" s="4">
        <f>AVERAGE(Financial_Data!E2:E13)</f>
        <v>0.42278852472755718</v>
      </c>
      <c r="H5" s="3"/>
    </row>
    <row r="6" spans="1:8" x14ac:dyDescent="0.35">
      <c r="A6" s="3"/>
      <c r="B6" s="3"/>
      <c r="C6" s="3"/>
      <c r="D6" s="3"/>
      <c r="E6" s="3"/>
      <c r="F6" s="3"/>
      <c r="G6" s="3"/>
      <c r="H6" s="3"/>
    </row>
  </sheetData>
  <mergeCells count="9">
    <mergeCell ref="A1:H1"/>
    <mergeCell ref="C3:D4"/>
    <mergeCell ref="A3:B4"/>
    <mergeCell ref="G3:H4"/>
    <mergeCell ref="E3:F4"/>
    <mergeCell ref="C5:D6"/>
    <mergeCell ref="A5:B6"/>
    <mergeCell ref="G5:H6"/>
    <mergeCell ref="E5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RAJ PANDEY</cp:lastModifiedBy>
  <dcterms:created xsi:type="dcterms:W3CDTF">2026-02-08T14:42:32Z</dcterms:created>
  <dcterms:modified xsi:type="dcterms:W3CDTF">2026-02-08T14:44:42Z</dcterms:modified>
</cp:coreProperties>
</file>