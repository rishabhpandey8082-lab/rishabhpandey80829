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4970C5-1B2B-4B9F-9CC4-C993D5A13A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stment_Data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E4" i="2" l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E3" i="2" s="1"/>
</calcChain>
</file>

<file path=xl/sharedStrings.xml><?xml version="1.0" encoding="utf-8"?>
<sst xmlns="http://schemas.openxmlformats.org/spreadsheetml/2006/main" count="10" uniqueCount="10">
  <si>
    <t>Year</t>
  </si>
  <si>
    <t>Cash Flow (€)</t>
  </si>
  <si>
    <t>Discount Factor</t>
  </si>
  <si>
    <t>Discounted Cash Flow (€)</t>
  </si>
  <si>
    <t>NPV &amp; IRR ANALYSIS – SELF-INITIATED ACADEMIC PROJECT</t>
  </si>
  <si>
    <t>Initial Investment (€)</t>
  </si>
  <si>
    <t>Net Present Value (NPV €)</t>
  </si>
  <si>
    <t>Discount Rate</t>
  </si>
  <si>
    <t>Internal Rate of Return (IRR)</t>
  </si>
  <si>
    <t>Project Duration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</si>
</sst>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Project Cash Flow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9981481481481479E-2"/>
          <c:y val="0.10818518518518519"/>
          <c:w val="0.76229833333333341"/>
          <c:h val="0.7318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Investment_Data!$B$1</c:f>
              <c:strCache>
                <c:ptCount val="1"/>
                <c:pt idx="0">
                  <c:v>Cash Flow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Investment_Data!$A$2:$A$7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Investment_Data!$B$2:$B$7</c:f>
              <c:numCache>
                <c:formatCode>General</c:formatCode>
                <c:ptCount val="6"/>
                <c:pt idx="0">
                  <c:v>-50000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8E-43D4-94A7-70FB5475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€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5" x14ac:dyDescent="0.35"/>
  <cols>
    <col min="1" max="4" width="2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-50000</v>
      </c>
      <c r="C2">
        <f>(1/(1+Dashboard!B4)^0)</f>
        <v>1</v>
      </c>
      <c r="D2">
        <f t="shared" ref="D2:D7" si="0">B2*C2</f>
        <v>-50000</v>
      </c>
    </row>
    <row r="3" spans="1:4" x14ac:dyDescent="0.35">
      <c r="A3">
        <v>1</v>
      </c>
      <c r="B3">
        <v>12000</v>
      </c>
      <c r="C3">
        <f>(1/(1+Dashboard!B4)^1)</f>
        <v>0.90909090909090906</v>
      </c>
      <c r="D3">
        <f t="shared" si="0"/>
        <v>10909.090909090908</v>
      </c>
    </row>
    <row r="4" spans="1:4" x14ac:dyDescent="0.35">
      <c r="A4">
        <v>2</v>
      </c>
      <c r="B4">
        <v>14000</v>
      </c>
      <c r="C4">
        <f>(1/(1+Dashboard!B4)^2)</f>
        <v>0.82644628099173545</v>
      </c>
      <c r="D4">
        <f t="shared" si="0"/>
        <v>11570.247933884297</v>
      </c>
    </row>
    <row r="5" spans="1:4" x14ac:dyDescent="0.35">
      <c r="A5">
        <v>3</v>
      </c>
      <c r="B5">
        <v>16000</v>
      </c>
      <c r="C5">
        <f>(1/(1+Dashboard!B4)^3)</f>
        <v>0.75131480090157754</v>
      </c>
      <c r="D5">
        <f t="shared" si="0"/>
        <v>12021.036814425241</v>
      </c>
    </row>
    <row r="6" spans="1:4" x14ac:dyDescent="0.35">
      <c r="A6">
        <v>4</v>
      </c>
      <c r="B6">
        <v>18000</v>
      </c>
      <c r="C6">
        <f>(1/(1+Dashboard!B4)^4)</f>
        <v>0.68301345536507052</v>
      </c>
      <c r="D6">
        <f t="shared" si="0"/>
        <v>12294.242196571269</v>
      </c>
    </row>
    <row r="7" spans="1:4" x14ac:dyDescent="0.35">
      <c r="A7">
        <v>5</v>
      </c>
      <c r="B7">
        <v>20000</v>
      </c>
      <c r="C7">
        <f>(1/(1+Dashboard!B4)^5)</f>
        <v>0.62092132305915493</v>
      </c>
      <c r="D7">
        <f t="shared" si="0"/>
        <v>12418.426461183099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="72" workbookViewId="0">
      <selection sqref="A1:H1"/>
    </sheetView>
  </sheetViews>
  <sheetFormatPr defaultRowHeight="14.5" x14ac:dyDescent="0.35"/>
  <cols>
    <col min="1" max="1" width="30.26953125" customWidth="1"/>
    <col min="2" max="2" width="12.54296875" customWidth="1"/>
    <col min="3" max="3" width="0.36328125" customWidth="1"/>
    <col min="4" max="4" width="27.26953125" customWidth="1"/>
    <col min="5" max="5" width="18.6328125" customWidth="1"/>
  </cols>
  <sheetData>
    <row r="1" spans="1:8" ht="26" x14ac:dyDescent="0.6">
      <c r="A1" s="5" t="s">
        <v>4</v>
      </c>
      <c r="B1" s="6"/>
      <c r="C1" s="6"/>
      <c r="D1" s="6"/>
      <c r="E1" s="6"/>
      <c r="F1" s="6"/>
      <c r="G1" s="6"/>
      <c r="H1" s="6"/>
    </row>
    <row r="3" spans="1:8" x14ac:dyDescent="0.35">
      <c r="A3" s="2" t="s">
        <v>5</v>
      </c>
      <c r="B3">
        <v>-50000</v>
      </c>
      <c r="D3" s="3" t="s">
        <v>6</v>
      </c>
      <c r="E3" s="4">
        <f>SUM(Investment_Data!D2:D7)</f>
        <v>9213.044315154817</v>
      </c>
    </row>
    <row r="4" spans="1:8" x14ac:dyDescent="0.35">
      <c r="A4" s="2" t="s">
        <v>7</v>
      </c>
      <c r="B4">
        <v>0.1</v>
      </c>
      <c r="D4" s="3" t="s">
        <v>8</v>
      </c>
      <c r="E4" s="4">
        <f>IRR(Investment_Data!B2:B7)</f>
        <v>0.1636248308982271</v>
      </c>
    </row>
    <row r="5" spans="1:8" x14ac:dyDescent="0.35">
      <c r="A5" s="2" t="s">
        <v>9</v>
      </c>
      <c r="B5">
        <v>5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RAJ PANDEY</cp:lastModifiedBy>
  <dcterms:created xsi:type="dcterms:W3CDTF">2026-02-08T14:45:31Z</dcterms:created>
  <dcterms:modified xsi:type="dcterms:W3CDTF">2026-02-08T14:48:04Z</dcterms:modified>
</cp:coreProperties>
</file>